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saisinvest-my.sharepoint.com/personal/nuno_teixeira_topbim_pt2/Documents/03.TOPBIM/EXCEL/StructuralEngineering/99.RSAP ADDINS/NT/RigidLinksUtility/released/"/>
    </mc:Choice>
  </mc:AlternateContent>
  <xr:revisionPtr revIDLastSave="20" documentId="8_{FC63A679-467C-4614-B3E9-4B8D603D9DFE}" xr6:coauthVersionLast="47" xr6:coauthVersionMax="47" xr10:uidLastSave="{3004C42F-C8D8-46D6-9A05-E0532C083585}"/>
  <bookViews>
    <workbookView xWindow="-108" yWindow="-108" windowWidth="23256" windowHeight="13176" tabRatio="917" activeTab="2" xr2:uid="{D34B89F2-CBC2-4E6E-A3A7-E61FD437D742}"/>
  </bookViews>
  <sheets>
    <sheet name="Nodes-Plane" sheetId="1" r:id="rId1"/>
    <sheet name="Bars-Plane" sheetId="13" r:id="rId2"/>
    <sheet name="Bars-Line" sheetId="15" r:id="rId3"/>
    <sheet name="Sheet1" sheetId="16" state="hidden" r:id="rId4"/>
    <sheet name="aux" sheetId="12" state="veryHidden" r:id="rId5"/>
    <sheet name="rigidLink.rectangular.backend" sheetId="5" state="veryHidden" r:id="rId6"/>
  </sheets>
  <functionGroups builtInGroupCount="19"/>
  <definedNames>
    <definedName name="_xleta.RIGHT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">'Nodes-Plane'!$C$3</definedName>
    <definedName name="BarNumber">'Bars-Plane'!#REF!</definedName>
    <definedName name="BarNumberTitle">'Bars-Plane'!$B$16</definedName>
    <definedName name="BottomSection">'Bars-Plane'!$C$4</definedName>
    <definedName name="d">#REF!</definedName>
    <definedName name="Direction">'Bars-Line'!$C$6</definedName>
    <definedName name="EndSection">'Bars-Line'!$C$4</definedName>
    <definedName name="h">'Nodes-Plane'!$C$4</definedName>
    <definedName name="MeshSize">'Bars-Line'!$C$5</definedName>
    <definedName name="NODES_RECTANGULAR_TYPE">'Nodes-Plane'!$C$2</definedName>
    <definedName name="NumberOfBars">'Bars-Plane'!#REF!</definedName>
    <definedName name="NumberOfBarsTitle">'Bars-Plane'!$B$16</definedName>
    <definedName name="NumberOfElementsTitle">'Bars-Plane'!#REF!</definedName>
    <definedName name="Section">'Bars-Line'!$C$2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'Bars-Plane'!$C$12</definedName>
    <definedName name="solver_typ" localSheetId="1" hidden="1">1</definedName>
    <definedName name="solver_val" localSheetId="1" hidden="1">0</definedName>
    <definedName name="solver_ver" localSheetId="1" hidden="1">3</definedName>
    <definedName name="StartSection">'Bars-Line'!$C$3</definedName>
    <definedName name="TopSection">'Bars-Plane'!$C$3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6" l="1"/>
  <c r="B4" i="16" s="1"/>
  <c r="B5" i="16" s="1"/>
  <c r="J9" i="5"/>
  <c r="N2" i="5"/>
  <c r="J11" i="5" s="1"/>
  <c r="XEZ1048542" i="13" a="1"/>
  <c r="XEZ1048542" i="13" s="1"/>
  <c r="XEZ1048543" i="13" a="1"/>
  <c r="XEZ1048543" i="13" s="1"/>
  <c r="XEZ1048544" i="13" a="1"/>
  <c r="XEZ1048544" i="13" s="1"/>
  <c r="XEZ1048545" i="13" a="1"/>
  <c r="XEZ1048545" i="13" s="1"/>
  <c r="XEZ1048546" i="13" a="1"/>
  <c r="XEZ1048546" i="13" s="1"/>
  <c r="XEZ1048547" i="13" a="1"/>
  <c r="XEZ1048547" i="13" s="1"/>
  <c r="XEZ1048548" i="13" a="1"/>
  <c r="XEZ1048548" i="13" s="1"/>
  <c r="XEZ1048549" i="13" a="1"/>
  <c r="XEZ1048549" i="13" s="1"/>
  <c r="XEZ1048550" i="13" a="1"/>
  <c r="XEZ1048550" i="13" s="1"/>
  <c r="XEZ1048551" i="13" a="1"/>
  <c r="XEZ1048551" i="13" s="1"/>
  <c r="XEZ1048552" i="13" a="1"/>
  <c r="XEZ1048552" i="13" s="1"/>
  <c r="XEZ1048553" i="13" a="1"/>
  <c r="XEZ1048553" i="13" s="1"/>
  <c r="XEZ1048554" i="13" a="1"/>
  <c r="XEZ1048554" i="13" s="1"/>
  <c r="XEZ1048555" i="13" a="1"/>
  <c r="XEZ1048555" i="13" s="1"/>
  <c r="XEZ1048556" i="13" a="1"/>
  <c r="XEZ1048556" i="13" s="1"/>
  <c r="XEZ1048557" i="13" a="1"/>
  <c r="XEZ1048557" i="13" s="1"/>
  <c r="XEZ1048558" i="13" a="1"/>
  <c r="XEZ1048558" i="13" s="1"/>
  <c r="XEZ1048559" i="13" a="1"/>
  <c r="XEZ1048559" i="13" s="1"/>
  <c r="XEZ1048560" i="13" a="1"/>
  <c r="XEZ1048560" i="13" s="1"/>
  <c r="XEZ1048561" i="13" a="1"/>
  <c r="XEZ1048561" i="13" s="1"/>
  <c r="XEZ1048562" i="13" a="1"/>
  <c r="XEZ1048562" i="13" s="1"/>
  <c r="XEZ1048563" i="13" a="1"/>
  <c r="XEZ1048563" i="13" s="1"/>
  <c r="XEZ1048564" i="13" a="1"/>
  <c r="XEZ1048564" i="13" s="1"/>
  <c r="XEZ1048565" i="13" a="1"/>
  <c r="XEZ1048565" i="13" s="1"/>
  <c r="XEZ1048566" i="13" a="1"/>
  <c r="XEZ1048566" i="13" s="1"/>
  <c r="XEZ1048567" i="13" a="1"/>
  <c r="XEZ1048567" i="13" s="1"/>
  <c r="G7" i="5"/>
  <c r="G6" i="5"/>
  <c r="G5" i="5"/>
  <c r="G4" i="5"/>
  <c r="G2" i="5"/>
  <c r="G3" i="5" s="1"/>
  <c r="J7" i="5" l="1"/>
  <c r="I11" i="5"/>
  <c r="I5" i="5"/>
  <c r="I8" i="5"/>
  <c r="I12" i="5"/>
  <c r="I4" i="5"/>
  <c r="I7" i="5"/>
  <c r="I9" i="5"/>
  <c r="J5" i="5"/>
  <c r="J6" i="5"/>
  <c r="J10" i="5"/>
  <c r="D11" i="5"/>
  <c r="Q11" i="5" s="1"/>
  <c r="D10" i="5"/>
  <c r="Q10" i="5" s="1"/>
  <c r="D5" i="5"/>
  <c r="Q5" i="5" s="1"/>
  <c r="C9" i="5"/>
  <c r="D8" i="5"/>
  <c r="Q8" i="5" s="1"/>
  <c r="C6" i="5"/>
  <c r="P6" i="5" s="1"/>
  <c r="C10" i="5"/>
  <c r="P10" i="5" s="1"/>
  <c r="D9" i="5"/>
  <c r="Q9" i="5" s="1"/>
  <c r="D6" i="5"/>
  <c r="Q6" i="5" s="1"/>
  <c r="C11" i="5"/>
  <c r="P11" i="5" s="1"/>
  <c r="C7" i="5"/>
  <c r="D4" i="5"/>
  <c r="D7" i="5"/>
  <c r="Q7" i="5" s="1"/>
  <c r="C4" i="5"/>
  <c r="C8" i="5"/>
  <c r="P8" i="5" s="1"/>
  <c r="C5" i="5"/>
  <c r="P5" i="5" l="1"/>
  <c r="P9" i="5"/>
  <c r="P7" i="5"/>
  <c r="C12" i="5"/>
  <c r="P12" i="5" s="1"/>
  <c r="P4" i="5"/>
  <c r="D12" i="5"/>
  <c r="Q12" i="5" s="1"/>
  <c r="Q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Nuno Henrique Teixeira</author>
  </authors>
  <commentList>
    <comment ref="C3" authorId="0" shapeId="0" xr:uid="{1645D478-A369-4037-BBA7-EF42FEE1A77C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Dimensão em X nos eixos globais!</t>
        </r>
      </text>
    </comment>
    <comment ref="C4" authorId="0" shapeId="0" xr:uid="{AD024B1F-1A82-4893-A761-12C08880F060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Dimensão em Y nos eixos globais!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<sst xmlns="http://schemas.openxmlformats.org/spreadsheetml/2006/main" count="49" uniqueCount="41">
  <si>
    <t>b (m)</t>
  </si>
  <si>
    <t>h (m)</t>
  </si>
  <si>
    <t>x</t>
  </si>
  <si>
    <t>y</t>
  </si>
  <si>
    <t>Rectângulo 8 Nós</t>
  </si>
  <si>
    <t>input</t>
  </si>
  <si>
    <t>Circular 8 Nós</t>
  </si>
  <si>
    <t>Ângulo</t>
  </si>
  <si>
    <t>Ângulo (rad)</t>
  </si>
  <si>
    <t>Angle (deg)</t>
  </si>
  <si>
    <r>
      <t>Angulo</t>
    </r>
    <r>
      <rPr>
        <vertAlign val="subscript"/>
        <sz val="11"/>
        <color theme="1"/>
        <rFont val="Calibri"/>
        <family val="2"/>
        <scheme val="minor"/>
      </rPr>
      <t xml:space="preserve">Diagonal </t>
    </r>
    <r>
      <rPr>
        <sz val="11"/>
        <color theme="1"/>
        <rFont val="Calibri"/>
        <family val="2"/>
        <scheme val="minor"/>
      </rPr>
      <t>(rad)</t>
    </r>
  </si>
  <si>
    <t>RaioDiagonal</t>
  </si>
  <si>
    <r>
      <t>Raio</t>
    </r>
    <r>
      <rPr>
        <vertAlign val="subscript"/>
        <sz val="11"/>
        <color theme="1"/>
        <rFont val="Calibri"/>
        <family val="2"/>
        <scheme val="minor"/>
      </rPr>
      <t>bx</t>
    </r>
  </si>
  <si>
    <r>
      <t>Raio</t>
    </r>
    <r>
      <rPr>
        <vertAlign val="subscript"/>
        <sz val="11"/>
        <color theme="1"/>
        <rFont val="Calibri"/>
        <family val="2"/>
        <scheme val="minor"/>
      </rPr>
      <t>hy</t>
    </r>
  </si>
  <si>
    <t>up</t>
  </si>
  <si>
    <t>down</t>
  </si>
  <si>
    <t xml:space="preserve">CREATE </t>
  </si>
  <si>
    <t>TOP</t>
  </si>
  <si>
    <t>BOTTOM</t>
  </si>
  <si>
    <t>START</t>
  </si>
  <si>
    <t>END</t>
  </si>
  <si>
    <t>Sections</t>
  </si>
  <si>
    <t>Selection</t>
  </si>
  <si>
    <t>List of Nodes</t>
  </si>
  <si>
    <t>Section</t>
  </si>
  <si>
    <t>All</t>
  </si>
  <si>
    <t>Bottom Half</t>
  </si>
  <si>
    <t>Y</t>
  </si>
  <si>
    <t>Z</t>
  </si>
  <si>
    <t xml:space="preserve">Direction </t>
  </si>
  <si>
    <t>Mesh Size</t>
  </si>
  <si>
    <t>Type</t>
  </si>
  <si>
    <t>8 Nós</t>
  </si>
  <si>
    <t>b(m)</t>
  </si>
  <si>
    <t xml:space="preserve"> </t>
  </si>
  <si>
    <t>h</t>
  </si>
  <si>
    <t>malha</t>
  </si>
  <si>
    <t>n</t>
  </si>
  <si>
    <t>Afastamento</t>
  </si>
  <si>
    <t>htotalMalha</t>
  </si>
  <si>
    <t>Rectangular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</si>
</sst>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 Narrow"/>
      <family val="2"/>
    </font>
    <font>
      <sz val="8"/>
      <color theme="1"/>
      <name val="Arial Narrow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1"/>
      <color rgb="FF800000"/>
      <name val="Calibri"/>
      <family val="2"/>
    </font>
    <font>
      <sz val="11"/>
      <color rgb="FF3366FF"/>
      <name val="Calibri"/>
      <family val="2"/>
    </font>
    <font>
      <b/>
      <i/>
      <sz val="11"/>
      <color rgb="FF800000"/>
      <name val="Calibri"/>
      <family val="2"/>
    </font>
    <font>
      <b/>
      <sz val="8"/>
      <color theme="1"/>
      <name val="Arial Narrow"/>
      <family val="2"/>
    </font>
    <font>
      <sz val="11"/>
      <color theme="1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6" fillId="3" borderId="0"/>
    <xf numFmtId="0" fontId="6" fillId="2" borderId="4">
      <alignment horizontal="center"/>
    </xf>
  </cellStyleXfs>
  <cellXfs count="46">
    <xf numFmtId="0" fontId="0" fillId="0" borderId="0" xfId="0"/>
    <xf numFmtId="0" fontId="0" fillId="3" borderId="0" xfId="0" applyFill="1"/>
    <xf numFmtId="0" fontId="3" fillId="0" borderId="1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3" xfId="0" applyFont="1" applyBorder="1"/>
    <xf numFmtId="0" fontId="4" fillId="0" borderId="4" xfId="0" applyFont="1" applyBorder="1"/>
    <xf numFmtId="0" fontId="3" fillId="0" borderId="5" xfId="0" applyFont="1" applyBorder="1"/>
    <xf numFmtId="2" fontId="3" fillId="2" borderId="6" xfId="0" applyNumberFormat="1" applyFont="1" applyFill="1" applyBorder="1" applyProtection="1">
      <protection locked="0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2" fontId="0" fillId="0" borderId="8" xfId="0" applyNumberFormat="1" applyBorder="1"/>
    <xf numFmtId="164" fontId="0" fillId="0" borderId="8" xfId="0" applyNumberFormat="1" applyBorder="1"/>
    <xf numFmtId="164" fontId="0" fillId="0" borderId="2" xfId="0" applyNumberFormat="1" applyBorder="1"/>
    <xf numFmtId="0" fontId="3" fillId="2" borderId="9" xfId="0" applyFont="1" applyFill="1" applyBorder="1"/>
    <xf numFmtId="0" fontId="6" fillId="3" borderId="0" xfId="2"/>
    <xf numFmtId="0" fontId="0" fillId="2" borderId="6" xfId="0" applyFill="1" applyBorder="1"/>
    <xf numFmtId="0" fontId="7" fillId="3" borderId="0" xfId="2" applyFont="1"/>
    <xf numFmtId="0" fontId="6" fillId="0" borderId="1" xfId="2" applyFill="1" applyBorder="1"/>
    <xf numFmtId="0" fontId="6" fillId="2" borderId="2" xfId="3" applyBorder="1">
      <alignment horizontal="center"/>
    </xf>
    <xf numFmtId="0" fontId="3" fillId="0" borderId="0" xfId="0" applyFont="1"/>
    <xf numFmtId="0" fontId="3" fillId="2" borderId="2" xfId="0" applyFont="1" applyFill="1" applyBorder="1"/>
    <xf numFmtId="0" fontId="3" fillId="0" borderId="3" xfId="0" applyFont="1" applyBorder="1"/>
    <xf numFmtId="0" fontId="3" fillId="2" borderId="4" xfId="0" applyFont="1" applyFill="1" applyBorder="1"/>
    <xf numFmtId="0" fontId="3" fillId="0" borderId="0" xfId="2" applyFont="1" applyFill="1"/>
    <xf numFmtId="0" fontId="10" fillId="3" borderId="0" xfId="2" applyFont="1"/>
    <xf numFmtId="2" fontId="3" fillId="2" borderId="4" xfId="0" applyNumberFormat="1" applyFont="1" applyFill="1" applyBorder="1" applyProtection="1">
      <protection locked="0"/>
    </xf>
    <xf numFmtId="2" fontId="3" fillId="2" borderId="2" xfId="0" applyNumberFormat="1" applyFont="1" applyFill="1" applyBorder="1" applyAlignment="1" applyProtection="1">
      <alignment horizontal="right"/>
      <protection locked="0"/>
    </xf>
    <xf numFmtId="0" fontId="4" fillId="0" borderId="0" xfId="0" applyFont="1" applyAlignment="1">
      <alignment horizontal="center"/>
    </xf>
    <xf numFmtId="0" fontId="4" fillId="0" borderId="0" xfId="0" applyFont="1"/>
    <xf numFmtId="0" fontId="15" fillId="3" borderId="0" xfId="2" applyFont="1"/>
    <xf numFmtId="0" fontId="0" fillId="2" borderId="4" xfId="0" applyFill="1" applyBorder="1"/>
    <xf numFmtId="0" fontId="0" fillId="0" borderId="12" xfId="0" applyBorder="1"/>
    <xf numFmtId="0" fontId="6" fillId="2" borderId="13" xfId="3" applyBorder="1">
      <alignment horizontal="center"/>
    </xf>
    <xf numFmtId="2" fontId="6" fillId="2" borderId="8" xfId="3" applyNumberFormat="1" applyBorder="1">
      <alignment horizontal="center"/>
    </xf>
    <xf numFmtId="0" fontId="3" fillId="0" borderId="0" xfId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</cellXfs>
  <cellStyles count="4">
    <cellStyle name="Background" xfId="2" xr:uid="{27AC43CB-82FF-4AFA-AF82-46852F328AB8}"/>
    <cellStyle name="Input_" xfId="3" xr:uid="{F85468BA-3CD1-4736-8C84-C4E77840F186}"/>
    <cellStyle name="Normal" xfId="0" builtinId="0"/>
    <cellStyle name="Normal 2" xfId="1" xr:uid="{D0971BAC-5A4A-41D5-9473-D9CC92EDF09A}"/>
  </cellStyles>
  <dxfs count="1"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14193939798515E-2"/>
          <c:y val="5.086705202312139E-2"/>
          <c:w val="0.88389620470048802"/>
          <c:h val="0.89826589595375728"/>
        </c:manualLayout>
      </c:layout>
      <c:scatterChart>
        <c:scatterStyle val="lineMarker"/>
        <c:varyColors val="0"/>
        <c:ser>
          <c:idx val="0"/>
          <c:order val="0"/>
          <c:tx>
            <c:v>secção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'rigidLink.rectangular.backend'!$P$4:$P$12</c:f>
              <c:numCache>
                <c:formatCode>General</c:formatCode>
                <c:ptCount val="9"/>
                <c:pt idx="0">
                  <c:v>0.25</c:v>
                </c:pt>
                <c:pt idx="1">
                  <c:v>0.25000000000000006</c:v>
                </c:pt>
                <c:pt idx="2">
                  <c:v>1.531435568635775E-17</c:v>
                </c:pt>
                <c:pt idx="3">
                  <c:v>-0.25</c:v>
                </c:pt>
                <c:pt idx="4">
                  <c:v>-0.25</c:v>
                </c:pt>
                <c:pt idx="5">
                  <c:v>-0.25000000000000006</c:v>
                </c:pt>
                <c:pt idx="6">
                  <c:v>-4.594306705907325E-17</c:v>
                </c:pt>
                <c:pt idx="7">
                  <c:v>0.24999999999999994</c:v>
                </c:pt>
                <c:pt idx="8">
                  <c:v>0.25</c:v>
                </c:pt>
              </c:numCache>
            </c:numRef>
          </c:xVal>
          <c:yVal>
            <c:numRef>
              <c:f>'rigidLink.rectangular.backend'!$Q$4:$Q$12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  <c:pt idx="3">
                  <c:v>0.25000000000000006</c:v>
                </c:pt>
                <c:pt idx="4">
                  <c:v>3.06287113727155E-17</c:v>
                </c:pt>
                <c:pt idx="5">
                  <c:v>-0.25</c:v>
                </c:pt>
                <c:pt idx="6">
                  <c:v>-0.25</c:v>
                </c:pt>
                <c:pt idx="7">
                  <c:v>-0.25000000000000006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3-45C9-A5EC-103155CA9EF7}"/>
            </c:ext>
          </c:extLst>
        </c:ser>
        <c:ser>
          <c:idx val="1"/>
          <c:order val="1"/>
          <c:tx>
            <c:v>pontos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'rigidLink.rectangular.backend'!$P$4:$P$12</c:f>
              <c:numCache>
                <c:formatCode>General</c:formatCode>
                <c:ptCount val="9"/>
                <c:pt idx="0">
                  <c:v>0.25</c:v>
                </c:pt>
                <c:pt idx="1">
                  <c:v>0.25000000000000006</c:v>
                </c:pt>
                <c:pt idx="2">
                  <c:v>1.531435568635775E-17</c:v>
                </c:pt>
                <c:pt idx="3">
                  <c:v>-0.25</c:v>
                </c:pt>
                <c:pt idx="4">
                  <c:v>-0.25</c:v>
                </c:pt>
                <c:pt idx="5">
                  <c:v>-0.25000000000000006</c:v>
                </c:pt>
                <c:pt idx="6">
                  <c:v>-4.594306705907325E-17</c:v>
                </c:pt>
                <c:pt idx="7">
                  <c:v>0.24999999999999994</c:v>
                </c:pt>
                <c:pt idx="8">
                  <c:v>0.25</c:v>
                </c:pt>
              </c:numCache>
            </c:numRef>
          </c:xVal>
          <c:yVal>
            <c:numRef>
              <c:f>'rigidLink.rectangular.backend'!$Q$4:$Q$12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  <c:pt idx="3">
                  <c:v>0.25000000000000006</c:v>
                </c:pt>
                <c:pt idx="4">
                  <c:v>3.06287113727155E-17</c:v>
                </c:pt>
                <c:pt idx="5">
                  <c:v>-0.25</c:v>
                </c:pt>
                <c:pt idx="6">
                  <c:v>-0.25</c:v>
                </c:pt>
                <c:pt idx="7">
                  <c:v>-0.25000000000000006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43-45C9-A5EC-103155CA9EF7}"/>
            </c:ext>
          </c:extLst>
        </c:ser>
        <c:ser>
          <c:idx val="2"/>
          <c:order val="2"/>
          <c:tx>
            <c:v>ponto central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443-45C9-A5EC-103155CA9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252463"/>
        <c:axId val="157885919"/>
      </c:scatterChart>
      <c:valAx>
        <c:axId val="1632252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85919"/>
        <c:crosses val="autoZero"/>
        <c:crossBetween val="midCat"/>
        <c:minorUnit val="1"/>
      </c:valAx>
      <c:valAx>
        <c:axId val="157885919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252463"/>
        <c:crosses val="autoZero"/>
        <c:crossBetween val="midCat"/>
        <c:majorUnit val="0.5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</xdr:colOff>
      <xdr:row>1</xdr:row>
      <xdr:rowOff>1</xdr:rowOff>
    </xdr:from>
    <xdr:to>
      <xdr:col>5</xdr:col>
      <xdr:colOff>598714</xdr:colOff>
      <xdr:row>6</xdr:row>
      <xdr:rowOff>185056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5</xdr:col>
          <xdr:colOff>594360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RigidLinks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106795</xdr:colOff>
      <xdr:row>2</xdr:row>
      <xdr:rowOff>184727</xdr:rowOff>
    </xdr:from>
    <xdr:to>
      <xdr:col>11</xdr:col>
      <xdr:colOff>0</xdr:colOff>
      <xdr:row>15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019136" y="438727"/>
          <a:ext cx="1982932" cy="16163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RigidLinks For Selection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criar rigid links para a selecção;</a:t>
          </a:r>
          <a:endParaRPr lang="en-US" sz="600">
            <a:effectLst/>
          </a:endParaRPr>
        </a:p>
        <a:p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Redo RigidLinks For Selection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refazer os rigid links para a selecção (apagar a voltar a criar); </a:t>
          </a:r>
          <a:endParaRPr lang="en-US" sz="600">
            <a:effectLst/>
          </a:endParaRPr>
        </a:p>
        <a:p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 RigidLinks For Selection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apagar os rigid links da seleção;</a:t>
          </a:r>
          <a:endParaRPr lang="en-US" sz="600">
            <a:effectLst/>
          </a:endParaRPr>
        </a:p>
        <a:p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Select All Master Nodes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seleccionar todos os Master nodes dos rigid links;</a:t>
          </a:r>
          <a:endParaRPr lang="en-US" sz="600">
            <a:effectLst/>
          </a:endParaRPr>
        </a:p>
        <a:p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Select All Slave Nodes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seleccionar todos os Slave nodes dos rigid links;</a:t>
          </a:r>
          <a:endParaRPr lang="en-US" sz="600">
            <a:effectLst/>
          </a:endParaRPr>
        </a:p>
        <a:p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 All RigidLinks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apagar todos os rigid links do projecto.</a:t>
          </a:r>
          <a:endParaRPr lang="en-US" sz="600">
            <a:effectLst/>
          </a:endParaRPr>
        </a:p>
        <a:p>
          <a:endParaRPr lang="pt-PT" sz="600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5</xdr:col>
          <xdr:colOff>594360</xdr:colOff>
          <xdr:row>16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Delete RigidLinks For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60960</xdr:rowOff>
        </xdr:from>
        <xdr:to>
          <xdr:col>5</xdr:col>
          <xdr:colOff>594360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Select All Master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5</xdr:col>
          <xdr:colOff>594360</xdr:colOff>
          <xdr:row>15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Select All Slave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15</xdr:row>
          <xdr:rowOff>60960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Delete All RigidLinks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594360</xdr:colOff>
          <xdr:row>11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 RigidLinks For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53340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Delete All RigidLinks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Delete RigidLinks For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7</xdr:row>
          <xdr:rowOff>0</xdr:rowOff>
        </xdr:from>
        <xdr:to>
          <xdr:col>2</xdr:col>
          <xdr:colOff>1104900</xdr:colOff>
          <xdr:row>8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 RigidLinks For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1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RigidLinks For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1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Select All Master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11</xdr:row>
          <xdr:rowOff>0</xdr:rowOff>
        </xdr:from>
        <xdr:to>
          <xdr:col>2</xdr:col>
          <xdr:colOff>1104900</xdr:colOff>
          <xdr:row>12</xdr:row>
          <xdr:rowOff>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1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Select All Slave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118809</xdr:colOff>
      <xdr:row>2</xdr:row>
      <xdr:rowOff>116972</xdr:rowOff>
    </xdr:from>
    <xdr:to>
      <xdr:col>11</xdr:col>
      <xdr:colOff>1</xdr:colOff>
      <xdr:row>12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7B641F8-2354-4A48-A235-7B405EF72652}"/>
            </a:ext>
          </a:extLst>
        </xdr:cNvPr>
        <xdr:cNvSpPr txBox="1"/>
      </xdr:nvSpPr>
      <xdr:spPr>
        <a:xfrm>
          <a:off x="3612858" y="364777"/>
          <a:ext cx="1857436" cy="12397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600" i="0" baseline="0"/>
            <a:t>- </a:t>
          </a:r>
          <a:r>
            <a:rPr lang="pt-PT" sz="600" b="1" i="0" baseline="0"/>
            <a:t>Create RigidLinks For Selection </a:t>
          </a:r>
          <a:r>
            <a:rPr lang="pt-PT" sz="600" i="0" baseline="0"/>
            <a:t>vai criar rigid links para a selecção;</a:t>
          </a:r>
        </a:p>
        <a:p>
          <a:r>
            <a:rPr lang="pt-PT" sz="600" b="1" i="0" baseline="0"/>
            <a:t>- Redo RigidLinks For Selection </a:t>
          </a:r>
          <a:r>
            <a:rPr lang="pt-PT" sz="600" i="0" baseline="0"/>
            <a:t>vai refazer os rigid links para a selecção (apagar a voltar a criar); </a:t>
          </a:r>
        </a:p>
        <a:p>
          <a:r>
            <a:rPr lang="pt-PT" sz="600" i="0" baseline="0"/>
            <a:t>- </a:t>
          </a:r>
          <a:r>
            <a:rPr lang="pt-PT" sz="600" b="1" i="0" baseline="0"/>
            <a:t>Delete RigidLinks For Selection </a:t>
          </a:r>
          <a:r>
            <a:rPr lang="pt-PT" sz="600" i="0" baseline="0"/>
            <a:t>vai apagar os rigid links da seleção;</a:t>
          </a:r>
        </a:p>
        <a:p>
          <a:r>
            <a:rPr lang="pt-PT" sz="600" b="1" i="0" baseline="0"/>
            <a:t>- Select All Master Nodes </a:t>
          </a:r>
          <a:r>
            <a:rPr lang="pt-PT" sz="600" i="0" baseline="0"/>
            <a:t>vai seleccionar todos os Master nodes dos rigid links;</a:t>
          </a:r>
        </a:p>
        <a:p>
          <a:r>
            <a:rPr lang="pt-PT" sz="600" b="1" i="0" baseline="0"/>
            <a:t>- Select All Slave Nodes </a:t>
          </a:r>
          <a:r>
            <a:rPr lang="pt-PT" sz="600" i="0" baseline="0"/>
            <a:t>vai seleccionar todos os Slave nodes dos rigid links;</a:t>
          </a:r>
        </a:p>
        <a:p>
          <a:r>
            <a:rPr lang="pt-PT" sz="600" i="0" baseline="0"/>
            <a:t>- </a:t>
          </a:r>
          <a:r>
            <a:rPr lang="pt-PT" sz="600" b="1" i="0" baseline="0"/>
            <a:t>Delete All RigidLinks </a:t>
          </a:r>
          <a:r>
            <a:rPr lang="pt-PT" sz="600" i="0" baseline="0"/>
            <a:t>vai apagar todos os rigid links do projecto.</a:t>
          </a:r>
        </a:p>
        <a:p>
          <a:r>
            <a:rPr lang="pt-PT" sz="600" i="1"/>
            <a:t>             </a:t>
          </a:r>
        </a:p>
      </xdr:txBody>
    </xdr:sp>
    <xdr:clientData/>
  </xdr:twoCellAnchor>
  <xdr:twoCellAnchor editAs="oneCell">
    <xdr:from>
      <xdr:col>4</xdr:col>
      <xdr:colOff>1</xdr:colOff>
      <xdr:row>1</xdr:row>
      <xdr:rowOff>0</xdr:rowOff>
    </xdr:from>
    <xdr:to>
      <xdr:col>6</xdr:col>
      <xdr:colOff>75604</xdr:colOff>
      <xdr:row>13</xdr:row>
      <xdr:rowOff>179581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E915E4F-9474-EB4B-FA63-1EDB5BED4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9830" y="65049"/>
          <a:ext cx="812823" cy="17872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8</xdr:row>
          <xdr:rowOff>175260</xdr:rowOff>
        </xdr:from>
        <xdr:to>
          <xdr:col>5</xdr:col>
          <xdr:colOff>723900</xdr:colOff>
          <xdr:row>10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RigidLinks For Selection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2</xdr:row>
      <xdr:rowOff>182755</xdr:rowOff>
    </xdr:from>
    <xdr:to>
      <xdr:col>10</xdr:col>
      <xdr:colOff>616414</xdr:colOff>
      <xdr:row>16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C080134-A6A6-4F94-AFF2-1157D7F72AA6}"/>
            </a:ext>
          </a:extLst>
        </xdr:cNvPr>
        <xdr:cNvSpPr txBox="1"/>
      </xdr:nvSpPr>
      <xdr:spPr>
        <a:xfrm>
          <a:off x="3481660" y="439853"/>
          <a:ext cx="1849242" cy="19235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RigidLinks For Selection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criar rigid links para a selecção;</a:t>
          </a:r>
          <a:endParaRPr lang="en-US" sz="600">
            <a:effectLst/>
          </a:endParaRPr>
        </a:p>
        <a:p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Redo RigidLinks For Selection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refazer os rigid links para a selecção (apagar a voltar a criar); </a:t>
          </a:r>
          <a:endParaRPr lang="en-US" sz="600">
            <a:effectLst/>
          </a:endParaRPr>
        </a:p>
        <a:p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 RigidLinks For Selection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apagar os rigid links da seleção;</a:t>
          </a:r>
          <a:endParaRPr lang="en-US" sz="600">
            <a:effectLst/>
          </a:endParaRPr>
        </a:p>
        <a:p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Select All Master Nodes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seleccionar todos os Master nodes dos rigid links;</a:t>
          </a:r>
          <a:endParaRPr lang="en-US" sz="600">
            <a:effectLst/>
          </a:endParaRPr>
        </a:p>
        <a:p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Select All Slave Nodes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seleccionar todos os Slave nodes dos rigid links;</a:t>
          </a:r>
          <a:endParaRPr lang="en-US" sz="600">
            <a:effectLst/>
          </a:endParaRPr>
        </a:p>
        <a:p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pt-PT" sz="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 All RigidLinks </a:t>
          </a:r>
          <a:r>
            <a:rPr lang="pt-PT" sz="6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vai apagar todos os rigid links do projecto.</a:t>
          </a:r>
          <a:endParaRPr lang="en-US" sz="6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16</xdr:row>
          <xdr:rowOff>175260</xdr:rowOff>
        </xdr:from>
        <xdr:to>
          <xdr:col>5</xdr:col>
          <xdr:colOff>723900</xdr:colOff>
          <xdr:row>18</xdr:row>
          <xdr:rowOff>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Delete RigidLinks For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10</xdr:col>
          <xdr:colOff>624840</xdr:colOff>
          <xdr:row>18</xdr:row>
          <xdr:rowOff>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Delete All RigidLinks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11</xdr:row>
          <xdr:rowOff>0</xdr:rowOff>
        </xdr:from>
        <xdr:to>
          <xdr:col>5</xdr:col>
          <xdr:colOff>723900</xdr:colOff>
          <xdr:row>11</xdr:row>
          <xdr:rowOff>175260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 RigidLinks For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13</xdr:row>
          <xdr:rowOff>0</xdr:rowOff>
        </xdr:from>
        <xdr:to>
          <xdr:col>5</xdr:col>
          <xdr:colOff>723900</xdr:colOff>
          <xdr:row>13</xdr:row>
          <xdr:rowOff>175260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Select All Master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15</xdr:row>
          <xdr:rowOff>0</xdr:rowOff>
        </xdr:from>
        <xdr:to>
          <xdr:col>5</xdr:col>
          <xdr:colOff>723900</xdr:colOff>
          <xdr:row>15</xdr:row>
          <xdr:rowOff>175260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Select All Slave Nodes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1</xdr:row>
      <xdr:rowOff>0</xdr:rowOff>
    </xdr:from>
    <xdr:to>
      <xdr:col>6</xdr:col>
      <xdr:colOff>0</xdr:colOff>
      <xdr:row>8</xdr:row>
      <xdr:rowOff>9940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444ECC-22B1-FEB5-BE34-4D27E8980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0540" y="63500"/>
          <a:ext cx="1447800" cy="1323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620C147-17B5-4B0D-8350-83A986DDBB10}">
  <we:reference id="wa200003696" version="1.3.0.0" store="en-US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273AAC32-3B85-46EC-804D-AB08F70F7B69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9211729466681647&quot;"/>
    <we:property name="ISxbPFg7UhwrIg==" value="&quot;&quot;"/>
    <we:property name="ISxbPFg7UiAmJDUNKjgQGgU=" value="&quot;JRFw&quot;"/>
    <we:property name="ISxbPFg7Uh4oMA4BNg==" value="&quot;Uw==&quot;"/>
    <we:property name="ISxbPFg7UiAmJDUNKjgbEQU=" value="&quot;Uw==&quot;"/>
    <we:property name="ISxbPFg7UiAmJDUNKjgFBgc=" value="&quot;Um0HeQVlQ2I=&quot;"/>
    <we:property name="ISxbPFg7UiAmJDUNKjgGFw4=" value="&quot;Uw==&quot;"/>
    <we:property name="ISxbPFg7UiAmJDUNKjgHGBo=" value="&quot;Ug==&quot;"/>
    <we:property name="ISxbPFg7UiAmJDUNKjgBGw4=" value="&quot;Um0HeA==&quot;"/>
    <we:property name="ISxbPFg7UiAmJDUNKjgWAgU=" value="&quot;Um0HeQVk&quot;"/>
    <we:property name="ISxbPFg7UiAmJDUNKjgYBw4=" value="&quot;Ug==&quot;"/>
    <we:property name="ISxbPFg7UiAmJDUNKjgGBxg=" value="&quot;U3MH&quot;"/>
    <we:property name="ISxbPFg7UiAmJDUNKjgHBwY=" value="&quot;Ug==&quot;"/>
    <we:property name="ISxbPFg7UiAmJDUNKjgYBhY=" value="&quot;Um0HfgA=&quot;"/>
    <we:property name="ISxbPFg7UiAmJDUNKjgYGgs=" value="&quot;UXM=&quot;"/>
    <we:property name="ISxbPFg7UiAmJDUNKjgHFhQ=" value="&quot;Uw==&quot;"/>
    <we:property name="ISxbPFg7UiAmJDUNKjgbABA=" value="&quot;UA==&quot;"/>
    <we:property name="ISxbPFg7UiAmJDUNKjgUFwE=" value="&quot;Um0HeQQ=&quot;"/>
    <we:property name="ISxbPFg7UiAmJDUNKjgHERE=" value="&quot;Vw==&quot;"/>
    <we:property name="ISxbPFg7UiAmJDUNKjgUBhE=" value="&quot;Uw==&quot;"/>
    <we:property name="ISxbPFg7UiAmJDUNKjgGAAM=" value="&quot;Ug==&quot;"/>
    <we:property name="ISxbPFg7UiAmJDUNKjgYERY=" value="&quot;UA==&quot;"/>
    <we:property name="ISxbPFg7UiAmJDUNKjgGGwE=" value="&quot;Ug==&quot;"/>
    <we:property name="ISxbPFg7UiAmJDUNKjgZBBY=" value="&quot;Ug==&quot;"/>
    <we:property name="ISxbPFg7UiAmJDUNKjgZBBI=" value="&quot;Ug==&quot;"/>
    <we:property name="ISxbPFg7UiAmJDUNKjgSFRI=" value="&quot;Um0HeQVlQ2I=&quot;"/>
    <we:property name="ISxbPFg7UiAmJDUNKjgcBBE=" value="&quot;Um0OcA==&quot;"/>
    <we:property name="ISxbPFg7UiAmJDUNKjgTEQM=" value="&quot;Um0HeQVlQ2I=&quot;"/>
    <we:property name="ISxbPFg7UiAmJDUNKjgcBAs=" value="&quot;Uw==&quot;"/>
    <we:property name="ISxbPFg7UiAmJDUNKjgcBAY=" value="&quot;UQ==&quot;"/>
  </we:properties>
  <we:bindings>
    <we:binding id="refEdit" type="matrix" appref="{AF2E0E49-53C7-468F-BA2F-A14058448A7D}"/>
    <we:binding id="Worker" type="matrix" appref="{8454BCDD-D521-441D-A5BD-7D3021106B76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2A30D-B352-4AF5-83CB-683E727C7D1E}">
  <sheetPr codeName="Sheet1">
    <tabColor theme="4" tint="0.79998168889431442"/>
  </sheetPr>
  <dimension ref="A1:I18"/>
  <sheetViews>
    <sheetView showGridLines="0" zoomScale="205" zoomScaleNormal="205" workbookViewId="0"/>
  </sheetViews>
  <sheetFormatPr defaultColWidth="8.5546875" defaultRowHeight="14.4" x14ac:dyDescent="0.3"/>
  <cols>
    <col min="1" max="1" width="1.5546875" style="1" customWidth="1"/>
    <col min="2" max="2" width="10" style="1" bestFit="1" customWidth="1"/>
    <col min="3" max="3" width="10" style="1" customWidth="1"/>
    <col min="4" max="4" width="1.5546875" style="1" customWidth="1"/>
    <col min="5" max="6" width="8.5546875" style="1"/>
    <col min="7" max="8" width="1.5546875" style="1" customWidth="1"/>
    <col min="9" max="10" width="8.5546875" style="1"/>
    <col min="11" max="11" width="11.21875" style="1" customWidth="1"/>
    <col min="12" max="12" width="1.5546875" style="1" customWidth="1"/>
    <col min="13" max="16384" width="8.5546875" style="1"/>
  </cols>
  <sheetData>
    <row r="1" spans="1:9" ht="5.0999999999999996" customHeight="1" thickBot="1" x14ac:dyDescent="0.35">
      <c r="A1"/>
      <c r="B1"/>
      <c r="C1"/>
      <c r="D1"/>
      <c r="E1"/>
      <c r="F1"/>
      <c r="G1"/>
    </row>
    <row r="2" spans="1:9" ht="15" thickBot="1" x14ac:dyDescent="0.35">
      <c r="A2"/>
      <c r="B2" s="2" t="s">
        <v>31</v>
      </c>
      <c r="C2" s="31" t="s">
        <v>40</v>
      </c>
      <c r="D2"/>
      <c r="E2"/>
      <c r="F2"/>
      <c r="G2"/>
      <c r="I2" s="18" t="s">
        <v>5</v>
      </c>
    </row>
    <row r="3" spans="1:9" x14ac:dyDescent="0.3">
      <c r="A3"/>
      <c r="B3" s="7" t="s">
        <v>0</v>
      </c>
      <c r="C3" s="8">
        <v>0.5</v>
      </c>
      <c r="D3"/>
      <c r="E3"/>
      <c r="F3"/>
      <c r="G3"/>
    </row>
    <row r="4" spans="1:9" x14ac:dyDescent="0.3">
      <c r="A4"/>
      <c r="B4" s="7" t="s">
        <v>1</v>
      </c>
      <c r="C4" s="8">
        <v>0.5</v>
      </c>
      <c r="D4"/>
      <c r="E4"/>
      <c r="F4"/>
      <c r="G4"/>
    </row>
    <row r="5" spans="1:9" ht="15" thickBot="1" x14ac:dyDescent="0.35">
      <c r="A5"/>
      <c r="B5" s="26" t="s">
        <v>9</v>
      </c>
      <c r="C5" s="30">
        <v>0</v>
      </c>
      <c r="D5"/>
      <c r="E5"/>
      <c r="F5"/>
      <c r="G5"/>
    </row>
    <row r="6" spans="1:9" ht="5.0999999999999996" customHeight="1" x14ac:dyDescent="0.3">
      <c r="A6"/>
      <c r="B6"/>
      <c r="C6"/>
      <c r="D6"/>
      <c r="E6"/>
      <c r="F6"/>
      <c r="G6"/>
    </row>
    <row r="7" spans="1:9" x14ac:dyDescent="0.3">
      <c r="A7"/>
      <c r="B7"/>
      <c r="C7"/>
      <c r="D7"/>
      <c r="E7"/>
      <c r="F7"/>
      <c r="G7"/>
    </row>
    <row r="8" spans="1:9" ht="5.0999999999999996" customHeight="1" x14ac:dyDescent="0.3">
      <c r="A8" s="39"/>
      <c r="B8" s="39"/>
      <c r="C8" s="39"/>
      <c r="D8" s="39"/>
      <c r="E8" s="39"/>
      <c r="F8" s="39"/>
      <c r="G8" s="39"/>
    </row>
    <row r="9" spans="1:9" x14ac:dyDescent="0.3">
      <c r="A9" s="39"/>
      <c r="B9" s="39"/>
      <c r="C9" s="39"/>
      <c r="D9" s="39"/>
      <c r="E9" s="39"/>
      <c r="F9" s="39"/>
      <c r="G9" s="39"/>
    </row>
    <row r="10" spans="1:9" ht="5.0999999999999996" customHeight="1" x14ac:dyDescent="0.3">
      <c r="A10" s="39"/>
      <c r="B10" s="39"/>
      <c r="C10" s="39"/>
      <c r="D10" s="39"/>
      <c r="E10" s="39"/>
      <c r="F10" s="39"/>
      <c r="G10" s="39"/>
    </row>
    <row r="11" spans="1:9" x14ac:dyDescent="0.3">
      <c r="A11" s="39"/>
      <c r="B11" s="39"/>
      <c r="C11" s="39"/>
      <c r="D11" s="39"/>
      <c r="E11" s="39"/>
      <c r="F11" s="39"/>
      <c r="G11" s="39"/>
    </row>
    <row r="12" spans="1:9" ht="5.0999999999999996" customHeight="1" x14ac:dyDescent="0.3">
      <c r="A12" s="39"/>
      <c r="B12" s="39"/>
      <c r="C12" s="39"/>
      <c r="D12" s="39"/>
      <c r="E12" s="39"/>
      <c r="F12" s="39"/>
      <c r="G12" s="39"/>
    </row>
    <row r="13" spans="1:9" x14ac:dyDescent="0.3">
      <c r="A13" s="39"/>
      <c r="B13" s="39"/>
      <c r="C13" s="39"/>
      <c r="D13" s="39"/>
      <c r="E13" s="39"/>
      <c r="F13" s="39"/>
      <c r="G13" s="39"/>
    </row>
    <row r="14" spans="1:9" ht="5.0999999999999996" customHeight="1" x14ac:dyDescent="0.3">
      <c r="A14" s="39"/>
      <c r="B14" s="39"/>
      <c r="C14" s="39"/>
      <c r="D14" s="39"/>
      <c r="E14" s="39"/>
      <c r="F14" s="39"/>
      <c r="G14" s="39"/>
    </row>
    <row r="15" spans="1:9" x14ac:dyDescent="0.3">
      <c r="A15" s="39"/>
      <c r="B15" s="39"/>
      <c r="C15" s="39"/>
      <c r="D15" s="39"/>
      <c r="E15" s="39"/>
      <c r="F15" s="39"/>
      <c r="G15" s="39"/>
    </row>
    <row r="16" spans="1:9" ht="5.0999999999999996" customHeight="1" x14ac:dyDescent="0.3">
      <c r="A16"/>
      <c r="B16"/>
      <c r="C16"/>
      <c r="D16"/>
      <c r="E16"/>
      <c r="F16"/>
      <c r="G16"/>
    </row>
    <row r="17" spans="1:7" x14ac:dyDescent="0.3">
      <c r="A17"/>
      <c r="B17"/>
      <c r="C17"/>
      <c r="D17"/>
      <c r="E17"/>
      <c r="F17"/>
      <c r="G17"/>
    </row>
    <row r="18" spans="1:7" ht="5.0999999999999996" customHeight="1" x14ac:dyDescent="0.3">
      <c r="A18"/>
      <c r="B18"/>
      <c r="C18"/>
      <c r="D18"/>
      <c r="E18"/>
      <c r="F18"/>
      <c r="G18"/>
    </row>
  </sheetData>
  <sheetProtection selectLockedCells="1"/>
  <dataConsolidate/>
  <conditionalFormatting sqref="B4:C5">
    <cfRule type="expression" dxfId="0" priority="1">
      <formula>$C$2="Circular"</formula>
    </cfRule>
  </conditionalFormatting>
  <dataValidations count="3">
    <dataValidation type="decimal" operator="greaterThan" allowBlank="1" showInputMessage="1" showErrorMessage="1" sqref="C3:C4" xr:uid="{6D4DD254-4413-4F7C-81B4-46AC039A2F1F}">
      <formula1>0</formula1>
    </dataValidation>
    <dataValidation type="decimal" operator="greaterThanOrEqual" allowBlank="1" showInputMessage="1" showErrorMessage="1" sqref="C5" xr:uid="{3CE069FA-FBC1-45C2-935C-BE5E20508B05}">
      <formula1>0</formula1>
    </dataValidation>
    <dataValidation type="list" allowBlank="1" showInputMessage="1" showErrorMessage="1" sqref="C2" xr:uid="{C1B262C4-2A6F-4E83-ACEA-D0C8AB29ED36}">
      <formula1>"Rectangular, Circular"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SelectAllMasterNodes_BarsPlane_Click">
                <anchor moveWithCells="1" sizeWithCells="1">
                  <from>
                    <xdr:col>1</xdr:col>
                    <xdr:colOff>0</xdr:colOff>
                    <xdr:row>11</xdr:row>
                    <xdr:rowOff>60960</xdr:rowOff>
                  </from>
                  <to>
                    <xdr:col>5</xdr:col>
                    <xdr:colOff>594360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SelectAllSlaveNodes_BarsPlane_Click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5</xdr:col>
                    <xdr:colOff>594360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594360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CreateRigidLinks_NodesPlane_Click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5</xdr:col>
                    <xdr:colOff>594360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uttonDeleteRigidLinks_BarsPlane_Click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5</xdr:col>
                    <xdr:colOff>594360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ButtonDeleteAllRigidLinks_Click">
                <anchor moveWithCells="1" sizeWithCells="1">
                  <from>
                    <xdr:col>7</xdr:col>
                    <xdr:colOff>99060</xdr:colOff>
                    <xdr:row>15</xdr:row>
                    <xdr:rowOff>60960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A29F6-B133-47D4-939F-2950A4CAB6E0}">
  <sheetPr codeName="Sheet6">
    <tabColor theme="4" tint="0.59999389629810485"/>
  </sheetPr>
  <dimension ref="A1:XEZ1048567"/>
  <sheetViews>
    <sheetView showGridLines="0" zoomScale="205" zoomScaleNormal="205" workbookViewId="0"/>
  </sheetViews>
  <sheetFormatPr defaultColWidth="8.77734375" defaultRowHeight="14.4" x14ac:dyDescent="0.3"/>
  <cols>
    <col min="1" max="1" width="1.77734375" style="19" customWidth="1"/>
    <col min="2" max="2" width="18.21875" style="19" bestFit="1" customWidth="1"/>
    <col min="3" max="3" width="15.77734375" style="19" customWidth="1"/>
    <col min="4" max="4" width="1.77734375" style="19" customWidth="1"/>
    <col min="5" max="5" width="8.77734375" style="19" customWidth="1"/>
    <col min="6" max="8" width="1.77734375" style="19" customWidth="1"/>
    <col min="9" max="16384" width="8.77734375" style="19"/>
  </cols>
  <sheetData>
    <row r="1" spans="1:9" ht="5.0999999999999996" customHeight="1" thickBot="1" x14ac:dyDescent="0.35">
      <c r="A1" s="24"/>
      <c r="B1" s="24"/>
      <c r="C1" s="24"/>
      <c r="D1" s="24"/>
      <c r="E1" s="24"/>
      <c r="F1" s="24"/>
      <c r="G1" s="24"/>
    </row>
    <row r="2" spans="1:9" ht="14.55" customHeight="1" thickBot="1" x14ac:dyDescent="0.35">
      <c r="A2" s="24"/>
      <c r="B2" s="40" t="s">
        <v>21</v>
      </c>
      <c r="C2" s="41"/>
      <c r="D2" s="24"/>
      <c r="E2" s="24"/>
      <c r="F2" s="24"/>
      <c r="G2" s="24"/>
      <c r="H2" s="21"/>
      <c r="I2" s="18" t="s">
        <v>5</v>
      </c>
    </row>
    <row r="3" spans="1:9" ht="14.55" customHeight="1" x14ac:dyDescent="0.3">
      <c r="A3" s="24"/>
      <c r="B3" s="2" t="s">
        <v>17</v>
      </c>
      <c r="C3" s="25" t="b">
        <v>1</v>
      </c>
      <c r="D3" s="24"/>
      <c r="E3" s="24"/>
      <c r="F3" s="24"/>
      <c r="G3" s="24"/>
    </row>
    <row r="4" spans="1:9" ht="14.55" customHeight="1" thickBot="1" x14ac:dyDescent="0.35">
      <c r="A4" s="24"/>
      <c r="B4" s="26" t="s">
        <v>18</v>
      </c>
      <c r="C4" s="27" t="b">
        <v>0</v>
      </c>
      <c r="D4" s="24"/>
      <c r="E4" s="24"/>
      <c r="F4" s="24"/>
      <c r="G4" s="24"/>
    </row>
    <row r="5" spans="1:9" ht="5.0999999999999996" customHeight="1" x14ac:dyDescent="0.3">
      <c r="A5" s="24"/>
      <c r="B5" s="28"/>
      <c r="C5" s="28"/>
      <c r="D5" s="28"/>
      <c r="E5" s="24"/>
      <c r="F5" s="24"/>
      <c r="G5" s="24"/>
    </row>
    <row r="6" spans="1:9" ht="14.55" customHeight="1" x14ac:dyDescent="0.3">
      <c r="A6" s="24"/>
      <c r="B6" s="28"/>
      <c r="C6" s="28"/>
      <c r="D6" s="28"/>
      <c r="E6" s="24"/>
      <c r="F6" s="24"/>
      <c r="G6" s="24"/>
    </row>
    <row r="7" spans="1:9" ht="5.0999999999999996" customHeight="1" x14ac:dyDescent="0.3">
      <c r="A7" s="24"/>
      <c r="B7" s="28"/>
      <c r="C7" s="28"/>
      <c r="D7" s="28"/>
      <c r="E7" s="24"/>
      <c r="F7" s="24"/>
      <c r="G7" s="24"/>
    </row>
    <row r="8" spans="1:9" ht="14.55" customHeight="1" x14ac:dyDescent="0.3">
      <c r="A8" s="24"/>
      <c r="B8" s="28"/>
      <c r="C8" s="28"/>
      <c r="D8" s="28"/>
      <c r="E8" s="24"/>
      <c r="F8" s="24"/>
      <c r="G8" s="24"/>
    </row>
    <row r="9" spans="1:9" ht="5.0999999999999996" customHeight="1" x14ac:dyDescent="0.3">
      <c r="A9" s="24"/>
      <c r="B9" s="28"/>
      <c r="C9" s="28"/>
      <c r="D9" s="28"/>
      <c r="E9" s="24"/>
      <c r="F9" s="24"/>
      <c r="G9" s="24"/>
    </row>
    <row r="10" spans="1:9" ht="14.55" customHeight="1" x14ac:dyDescent="0.3">
      <c r="A10" s="24"/>
      <c r="B10" s="28"/>
      <c r="C10" s="28"/>
      <c r="D10" s="28"/>
      <c r="E10" s="24"/>
      <c r="F10" s="24"/>
      <c r="G10" s="24"/>
    </row>
    <row r="11" spans="1:9" ht="5.0999999999999996" customHeight="1" x14ac:dyDescent="0.3">
      <c r="A11" s="24"/>
      <c r="B11" s="28"/>
      <c r="C11" s="28"/>
      <c r="D11" s="28"/>
      <c r="E11" s="24"/>
      <c r="F11" s="24"/>
      <c r="G11" s="24"/>
    </row>
    <row r="12" spans="1:9" ht="14.55" customHeight="1" x14ac:dyDescent="0.3">
      <c r="A12" s="24"/>
      <c r="B12" s="28"/>
      <c r="C12" s="28"/>
      <c r="D12" s="28"/>
      <c r="E12" s="24"/>
      <c r="F12" s="24"/>
      <c r="G12" s="24"/>
    </row>
    <row r="13" spans="1:9" ht="5.0999999999999996" customHeight="1" x14ac:dyDescent="0.3">
      <c r="A13" s="24"/>
      <c r="B13" s="28"/>
      <c r="C13" s="28"/>
      <c r="D13" s="28"/>
      <c r="E13" s="24"/>
      <c r="F13" s="24"/>
      <c r="G13" s="24"/>
    </row>
    <row r="14" spans="1:9" ht="14.55" customHeight="1" x14ac:dyDescent="0.3">
      <c r="A14" s="24"/>
      <c r="B14" s="28"/>
      <c r="C14" s="28"/>
      <c r="D14" s="28"/>
      <c r="E14" s="24"/>
      <c r="F14" s="24"/>
      <c r="G14" s="24"/>
    </row>
    <row r="15" spans="1:9" ht="5.0999999999999996" customHeight="1" x14ac:dyDescent="0.3">
      <c r="A15" s="24"/>
      <c r="B15" s="28"/>
      <c r="C15" s="28"/>
      <c r="D15" s="28"/>
      <c r="E15" s="24"/>
      <c r="F15" s="24"/>
      <c r="G15" s="24"/>
    </row>
    <row r="20" spans="2:2" x14ac:dyDescent="0.3">
      <c r="B20" s="29"/>
    </row>
    <row r="21" spans="2:2" x14ac:dyDescent="0.3">
      <c r="B21" s="29"/>
    </row>
    <row r="22" spans="2:2" x14ac:dyDescent="0.3">
      <c r="B22" s="29"/>
    </row>
    <row r="1048542" spans="16380:16380" x14ac:dyDescent="0.3">
      <c r="XEZ1048542" s="19" t="e" cm="1">
        <f t="array" ref="XEZ1048542">solver_pre</f>
        <v>#NAME?</v>
      </c>
    </row>
    <row r="1048543" spans="16380:16380" x14ac:dyDescent="0.3">
      <c r="XEZ1048543" s="19" t="e" cm="1">
        <f t="array" ref="XEZ1048543">solver_scl</f>
        <v>#NAME?</v>
      </c>
    </row>
    <row r="1048544" spans="16380:16380" x14ac:dyDescent="0.3">
      <c r="XEZ1048544" s="19" t="e" cm="1">
        <f t="array" ref="XEZ1048544">solver_rlx</f>
        <v>#NAME?</v>
      </c>
    </row>
    <row r="1048545" spans="16380:16380" x14ac:dyDescent="0.3">
      <c r="XEZ1048545" s="19" t="e" cm="1">
        <f t="array" ref="XEZ1048545">solver_tol</f>
        <v>#NAME?</v>
      </c>
    </row>
    <row r="1048546" spans="16380:16380" x14ac:dyDescent="0.3">
      <c r="XEZ1048546" s="19" t="e" cm="1">
        <f t="array" ref="XEZ1048546">solver_cvg</f>
        <v>#NAME?</v>
      </c>
    </row>
    <row r="1048547" spans="16380:16380" x14ac:dyDescent="0.3">
      <c r="XEZ1048547" s="19" t="e" cm="1">
        <f t="array" ref="XEZ1048547">AREAS(solver_adj1)</f>
        <v>#NAME?</v>
      </c>
    </row>
    <row r="1048548" spans="16380:16380" x14ac:dyDescent="0.3">
      <c r="XEZ1048548" s="19" t="e" cm="1">
        <f t="array" ref="XEZ1048548">solver_ssz</f>
        <v>#NAME?</v>
      </c>
    </row>
    <row r="1048549" spans="16380:16380" x14ac:dyDescent="0.3">
      <c r="XEZ1048549" s="19" t="e" cm="1">
        <f t="array" ref="XEZ1048549">solver_rsd</f>
        <v>#NAME?</v>
      </c>
    </row>
    <row r="1048550" spans="16380:16380" x14ac:dyDescent="0.3">
      <c r="XEZ1048550" s="19" t="e" cm="1">
        <f t="array" ref="XEZ1048550">solver_mrt</f>
        <v>#NAME?</v>
      </c>
    </row>
    <row r="1048551" spans="16380:16380" x14ac:dyDescent="0.3">
      <c r="XEZ1048551" s="19" t="e" cm="1">
        <f t="array" ref="XEZ1048551">solver_mni</f>
        <v>#NAME?</v>
      </c>
    </row>
    <row r="1048552" spans="16380:16380" x14ac:dyDescent="0.3">
      <c r="XEZ1048552" s="19" t="e" cm="1">
        <f t="array" ref="XEZ1048552">solver_rbv</f>
        <v>#NAME?</v>
      </c>
    </row>
    <row r="1048553" spans="16380:16380" x14ac:dyDescent="0.3">
      <c r="XEZ1048553" s="19" cm="1">
        <f t="array" ref="XEZ1048553">solver_neg</f>
        <v>1</v>
      </c>
    </row>
    <row r="1048554" spans="16380:16380" x14ac:dyDescent="0.3">
      <c r="XEZ1048554" s="19" t="e" cm="1">
        <f t="array" ref="XEZ1048554">solver_ntr</f>
        <v>#NAME?</v>
      </c>
    </row>
    <row r="1048555" spans="16380:16380" x14ac:dyDescent="0.3">
      <c r="XEZ1048555" s="19" t="e" cm="1">
        <f t="array" ref="XEZ1048555">solver_acc</f>
        <v>#NAME?</v>
      </c>
    </row>
    <row r="1048556" spans="16380:16380" x14ac:dyDescent="0.3">
      <c r="XEZ1048556" s="19" t="e" cm="1">
        <f t="array" ref="XEZ1048556">solver_res</f>
        <v>#NAME?</v>
      </c>
    </row>
    <row r="1048557" spans="16380:16380" x14ac:dyDescent="0.3">
      <c r="XEZ1048557" s="19" t="e" cm="1">
        <f t="array" ref="XEZ1048557">solver_ars</f>
        <v>#NAME?</v>
      </c>
    </row>
    <row r="1048558" spans="16380:16380" x14ac:dyDescent="0.3">
      <c r="XEZ1048558" s="19" t="e" cm="1">
        <f t="array" ref="XEZ1048558">solver_sta</f>
        <v>#NAME?</v>
      </c>
    </row>
    <row r="1048559" spans="16380:16380" x14ac:dyDescent="0.3">
      <c r="XEZ1048559" s="19" t="e" cm="1">
        <f t="array" ref="XEZ1048559">solver_met</f>
        <v>#NAME?</v>
      </c>
    </row>
    <row r="1048560" spans="16380:16380" x14ac:dyDescent="0.3">
      <c r="XEZ1048560" s="19" t="e" cm="1">
        <f t="array" ref="XEZ1048560">solver_soc</f>
        <v>#NAME?</v>
      </c>
    </row>
    <row r="1048561" spans="16380:16380" x14ac:dyDescent="0.3">
      <c r="XEZ1048561" s="19" t="e" cm="1">
        <f t="array" ref="XEZ1048561">solver_lpt</f>
        <v>#NAME?</v>
      </c>
    </row>
    <row r="1048562" spans="16380:16380" x14ac:dyDescent="0.3">
      <c r="XEZ1048562" s="19" t="e" cm="1">
        <f t="array" ref="XEZ1048562">solver_lpp</f>
        <v>#NAME?</v>
      </c>
    </row>
    <row r="1048563" spans="16380:16380" x14ac:dyDescent="0.3">
      <c r="XEZ1048563" s="19" t="e" cm="1">
        <f t="array" ref="XEZ1048563">solver_gap</f>
        <v>#NAME?</v>
      </c>
    </row>
    <row r="1048564" spans="16380:16380" x14ac:dyDescent="0.3">
      <c r="XEZ1048564" s="19" t="e" cm="1">
        <f t="array" ref="XEZ1048564">solver_ips</f>
        <v>#NAME?</v>
      </c>
    </row>
    <row r="1048565" spans="16380:16380" x14ac:dyDescent="0.3">
      <c r="XEZ1048565" s="19" t="e" cm="1">
        <f t="array" ref="XEZ1048565">solver_fea</f>
        <v>#NAME?</v>
      </c>
    </row>
    <row r="1048566" spans="16380:16380" x14ac:dyDescent="0.3">
      <c r="XEZ1048566" s="19" t="e" cm="1">
        <f t="array" ref="XEZ1048566">solver_ipi</f>
        <v>#NAME?</v>
      </c>
    </row>
    <row r="1048567" spans="16380:16380" x14ac:dyDescent="0.3">
      <c r="XEZ1048567" s="19" t="e" cm="1">
        <f t="array" ref="XEZ1048567">solver_ipd</f>
        <v>#NAME?</v>
      </c>
    </row>
  </sheetData>
  <mergeCells count="1">
    <mergeCell ref="B2:C2"/>
  </mergeCells>
  <dataValidations count="1">
    <dataValidation type="list" allowBlank="1" showInputMessage="1" showErrorMessage="1" sqref="C3:C4" xr:uid="{F473C47E-24FA-4D10-B383-CA92A49A956E}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9" r:id="rId4" name="Button 9">
              <controlPr defaultSize="0" print="0" autoFill="0" autoPict="0" macro="[0]!ButtonDeleteAllRigidLinks_Click">
                <anchor moveWithCells="1" sizeWithCells="1">
                  <from>
                    <xdr:col>8</xdr:col>
                    <xdr:colOff>0</xdr:colOff>
                    <xdr:row>12</xdr:row>
                    <xdr:rowOff>53340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5" name="Button 10">
              <controlPr defaultSize="0" print="0" autoFill="0" autoPict="0" macro="[0]!ButtonDeleteRigidLinks_BarsPlane_Click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6" name="Button 11">
              <controlPr defaultSize="0" print="0" autoFill="0" autoPict="0" macro="[0]!ButtonRedoRigidLinks_BarsPlane_Click">
                <anchor moveWithCells="1" sizeWithCells="1">
                  <from>
                    <xdr:col>0</xdr:col>
                    <xdr:colOff>129540</xdr:colOff>
                    <xdr:row>7</xdr:row>
                    <xdr:rowOff>0</xdr:rowOff>
                  </from>
                  <to>
                    <xdr:col>2</xdr:col>
                    <xdr:colOff>1104900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7" name="Button 14">
              <controlPr defaultSize="0" print="0" autoFill="0" autoPict="0" macro="[0]!CreateRigidLinksForBarsPlane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8" name="Button 15">
              <controlPr defaultSize="0" print="0" autoFill="0" autoPict="0" macro="[0]!ButtonSelectAllMasterNodes_BarsPlane_Click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9" name="Button 16">
              <controlPr defaultSize="0" print="0" autoFill="0" autoPict="0" macro="[0]!ButtonSelectAllSlaveNodes_BarsPlane_Click">
                <anchor moveWithCells="1" sizeWithCells="1">
                  <from>
                    <xdr:col>0</xdr:col>
                    <xdr:colOff>129540</xdr:colOff>
                    <xdr:row>11</xdr:row>
                    <xdr:rowOff>0</xdr:rowOff>
                  </from>
                  <to>
                    <xdr:col>2</xdr:col>
                    <xdr:colOff>1104900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F7C9EE02-42E1-4005-9D12-6889AFFD525C}">
      <x15:webExtensions xmlns:xm="http://schemas.microsoft.com/office/excel/2006/main">
        <x15:webExtension appRef="{AF2E0E49-53C7-468F-BA2F-A14058448A7D}">
          <xm:f>'Bars-Plane'!1:1048576</xm:f>
        </x15:webExtension>
        <x15:webExtension appRef="{8454BCDD-D521-441D-A5BD-7D3021106B76}">
          <xm:f>'Bars-Plane'!XEZ1048542:XFD1048567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D975B-2CE6-43E3-BC19-522D728A8B2D}">
  <sheetPr codeName="Sheet7">
    <tabColor theme="9" tint="0.59999389629810485"/>
  </sheetPr>
  <dimension ref="A1:N19"/>
  <sheetViews>
    <sheetView showGridLines="0" tabSelected="1" zoomScale="205" zoomScaleNormal="205" workbookViewId="0"/>
  </sheetViews>
  <sheetFormatPr defaultColWidth="8.77734375" defaultRowHeight="14.4" x14ac:dyDescent="0.3"/>
  <cols>
    <col min="1" max="1" width="1.77734375" style="19" customWidth="1"/>
    <col min="2" max="2" width="11" style="19" customWidth="1"/>
    <col min="3" max="3" width="11" style="19" bestFit="1" customWidth="1"/>
    <col min="4" max="4" width="1.5546875" style="19" customWidth="1"/>
    <col min="5" max="6" width="10.33203125" style="19" customWidth="1"/>
    <col min="7" max="8" width="1.77734375" style="19" customWidth="1"/>
    <col min="9" max="11" width="8.77734375" style="19"/>
    <col min="12" max="12" width="1.5546875" style="19" customWidth="1"/>
    <col min="13" max="16384" width="8.77734375" style="19"/>
  </cols>
  <sheetData>
    <row r="1" spans="1:14" ht="5.0999999999999996" customHeight="1" thickBot="1" x14ac:dyDescent="0.35">
      <c r="A1"/>
      <c r="B1"/>
      <c r="C1"/>
      <c r="D1"/>
      <c r="E1"/>
      <c r="F1"/>
      <c r="G1"/>
    </row>
    <row r="2" spans="1:14" ht="15" thickBot="1" x14ac:dyDescent="0.35">
      <c r="A2"/>
      <c r="B2" s="22" t="s">
        <v>24</v>
      </c>
      <c r="C2" s="23" t="s">
        <v>25</v>
      </c>
      <c r="D2"/>
      <c r="E2"/>
      <c r="F2"/>
      <c r="G2"/>
      <c r="I2" s="18" t="s">
        <v>5</v>
      </c>
    </row>
    <row r="3" spans="1:14" x14ac:dyDescent="0.3">
      <c r="A3"/>
      <c r="B3" s="10" t="s">
        <v>19</v>
      </c>
      <c r="C3" s="20" t="b">
        <v>0</v>
      </c>
      <c r="D3"/>
      <c r="E3"/>
      <c r="F3"/>
      <c r="G3"/>
    </row>
    <row r="4" spans="1:14" ht="15" thickBot="1" x14ac:dyDescent="0.35">
      <c r="A4"/>
      <c r="B4" s="12" t="s">
        <v>20</v>
      </c>
      <c r="C4" s="35" t="b">
        <v>1</v>
      </c>
      <c r="D4"/>
      <c r="E4"/>
      <c r="F4"/>
      <c r="G4"/>
    </row>
    <row r="5" spans="1:14" ht="15" thickBot="1" x14ac:dyDescent="0.35">
      <c r="A5"/>
      <c r="B5" s="14" t="s">
        <v>30</v>
      </c>
      <c r="C5" s="38">
        <v>0.2</v>
      </c>
      <c r="D5"/>
      <c r="E5"/>
      <c r="F5"/>
      <c r="G5"/>
    </row>
    <row r="6" spans="1:14" ht="14.55" customHeight="1" thickBot="1" x14ac:dyDescent="0.35">
      <c r="A6"/>
      <c r="B6" s="36" t="s">
        <v>29</v>
      </c>
      <c r="C6" s="37" t="s">
        <v>28</v>
      </c>
      <c r="D6"/>
      <c r="E6"/>
      <c r="F6"/>
      <c r="G6"/>
      <c r="N6" s="34"/>
    </row>
    <row r="7" spans="1:14" x14ac:dyDescent="0.3">
      <c r="A7"/>
      <c r="B7"/>
      <c r="C7"/>
      <c r="D7"/>
      <c r="E7"/>
      <c r="F7"/>
      <c r="G7"/>
    </row>
    <row r="8" spans="1:14" x14ac:dyDescent="0.3">
      <c r="A8"/>
      <c r="B8"/>
      <c r="C8"/>
      <c r="D8"/>
      <c r="E8"/>
      <c r="F8"/>
      <c r="G8"/>
    </row>
    <row r="9" spans="1:14" ht="5.0999999999999996" customHeight="1" x14ac:dyDescent="0.3">
      <c r="A9"/>
      <c r="B9"/>
      <c r="C9"/>
      <c r="D9"/>
      <c r="E9"/>
      <c r="F9"/>
      <c r="G9"/>
    </row>
    <row r="10" spans="1:14" x14ac:dyDescent="0.3">
      <c r="A10"/>
      <c r="B10" t="s">
        <v>34</v>
      </c>
      <c r="C10"/>
      <c r="D10"/>
      <c r="E10"/>
      <c r="F10"/>
      <c r="G10"/>
    </row>
    <row r="11" spans="1:14" ht="5.0999999999999996" customHeight="1" x14ac:dyDescent="0.3">
      <c r="A11"/>
      <c r="B11"/>
      <c r="C11"/>
      <c r="D11"/>
      <c r="E11"/>
      <c r="F11"/>
      <c r="G11"/>
    </row>
    <row r="12" spans="1:14" x14ac:dyDescent="0.3">
      <c r="A12"/>
      <c r="B12"/>
      <c r="C12"/>
      <c r="D12"/>
      <c r="E12"/>
      <c r="F12"/>
      <c r="G12"/>
    </row>
    <row r="13" spans="1:14" ht="5.0999999999999996" customHeight="1" x14ac:dyDescent="0.3">
      <c r="A13"/>
      <c r="B13"/>
      <c r="C13"/>
      <c r="D13"/>
      <c r="E13"/>
      <c r="F13"/>
      <c r="G13"/>
    </row>
    <row r="14" spans="1:14" x14ac:dyDescent="0.3">
      <c r="A14"/>
      <c r="B14"/>
      <c r="C14"/>
      <c r="D14"/>
      <c r="E14"/>
      <c r="F14"/>
      <c r="G14"/>
    </row>
    <row r="15" spans="1:14" ht="5.0999999999999996" customHeight="1" x14ac:dyDescent="0.3">
      <c r="A15"/>
      <c r="B15"/>
      <c r="C15"/>
      <c r="D15"/>
      <c r="E15"/>
      <c r="F15"/>
      <c r="G15"/>
    </row>
    <row r="16" spans="1:14" x14ac:dyDescent="0.3">
      <c r="A16"/>
      <c r="B16"/>
      <c r="C16"/>
      <c r="D16"/>
      <c r="E16"/>
      <c r="F16"/>
      <c r="G16"/>
    </row>
    <row r="17" spans="1:7" ht="5.0999999999999996" customHeight="1" x14ac:dyDescent="0.3">
      <c r="A17"/>
      <c r="B17"/>
      <c r="C17"/>
      <c r="D17"/>
      <c r="E17"/>
      <c r="F17"/>
      <c r="G17"/>
    </row>
    <row r="18" spans="1:7" x14ac:dyDescent="0.3">
      <c r="A18"/>
      <c r="B18"/>
      <c r="C18"/>
      <c r="D18"/>
      <c r="E18"/>
      <c r="F18"/>
      <c r="G18"/>
    </row>
    <row r="19" spans="1:7" ht="5.0999999999999996" customHeight="1" x14ac:dyDescent="0.3">
      <c r="A19"/>
      <c r="B19"/>
      <c r="C19"/>
      <c r="D19"/>
      <c r="E19"/>
      <c r="F19"/>
      <c r="G19"/>
    </row>
  </sheetData>
  <dataValidations count="1">
    <dataValidation type="list" allowBlank="1" showInputMessage="1" showErrorMessage="1" sqref="C3:C4" xr:uid="{56D7F265-1A42-439B-A1A7-0B8F0A50DF44}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ButtonCreateRigidLinks_BarLinear_Click">
                <anchor moveWithCells="1" sizeWithCells="1">
                  <from>
                    <xdr:col>0</xdr:col>
                    <xdr:colOff>129540</xdr:colOff>
                    <xdr:row>8</xdr:row>
                    <xdr:rowOff>175260</xdr:rowOff>
                  </from>
                  <to>
                    <xdr:col>5</xdr:col>
                    <xdr:colOff>723900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ButtonDeleteRigidLinks_BarsPlane_Click">
                <anchor moveWithCells="1" sizeWithCells="1">
                  <from>
                    <xdr:col>0</xdr:col>
                    <xdr:colOff>129540</xdr:colOff>
                    <xdr:row>16</xdr:row>
                    <xdr:rowOff>175260</xdr:rowOff>
                  </from>
                  <to>
                    <xdr:col>5</xdr:col>
                    <xdr:colOff>723900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6" name="Button 7">
              <controlPr defaultSize="0" print="0" autoFill="0" autoPict="0" macro="[0]!ButtonDeleteAllRigidLinks_Click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10</xdr:col>
                    <xdr:colOff>624840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7" name="Button 10">
              <controlPr defaultSize="0" print="0" autoFill="0" autoPict="0" macro="[0]!ButtonSelectAllMasterNodes_BarsPlane_Click">
                <anchor moveWithCells="1" sizeWithCells="1">
                  <from>
                    <xdr:col>0</xdr:col>
                    <xdr:colOff>129540</xdr:colOff>
                    <xdr:row>13</xdr:row>
                    <xdr:rowOff>0</xdr:rowOff>
                  </from>
                  <to>
                    <xdr:col>5</xdr:col>
                    <xdr:colOff>723900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8" name="Button 11">
              <controlPr defaultSize="0" print="0" autoFill="0" autoPict="0" macro="[0]!ButtonSelectAllSlaveNodes_BarsPlane_Click">
                <anchor moveWithCells="1" sizeWithCells="1">
                  <from>
                    <xdr:col>0</xdr:col>
                    <xdr:colOff>129540</xdr:colOff>
                    <xdr:row>15</xdr:row>
                    <xdr:rowOff>0</xdr:rowOff>
                  </from>
                  <to>
                    <xdr:col>5</xdr:col>
                    <xdr:colOff>723900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9" name="Button 9">
              <controlPr defaultSize="0" print="0" autoFill="0" autoPict="0" macro="[0]!ButtonRedoRigidLinks_BarsLine_Click">
                <anchor moveWithCells="1" sizeWithCells="1">
                  <from>
                    <xdr:col>0</xdr:col>
                    <xdr:colOff>129540</xdr:colOff>
                    <xdr:row>11</xdr:row>
                    <xdr:rowOff>0</xdr:rowOff>
                  </from>
                  <to>
                    <xdr:col>5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96E95F8-68BE-4DB3-95E2-16427C407F4D}">
          <x14:formula1>
            <xm:f>aux!$K$2</xm:f>
          </x14:formula1>
          <xm:sqref>C2</xm:sqref>
        </x14:dataValidation>
        <x14:dataValidation type="list" allowBlank="1" showInputMessage="1" showErrorMessage="1" xr:uid="{04C100C1-1522-474A-9153-F361F9BF0BDB}">
          <x14:formula1>
            <xm:f>aux!$K$5:$K$6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921F6-D4A7-47AB-8E14-E70C190B3CD6}">
  <sheetPr codeName="Sheet3"/>
  <dimension ref="A1:B5"/>
  <sheetViews>
    <sheetView workbookViewId="0">
      <selection sqref="A1:B5"/>
    </sheetView>
  </sheetViews>
  <sheetFormatPr defaultRowHeight="14.4" x14ac:dyDescent="0.3"/>
  <cols>
    <col min="1" max="1" width="11.5546875" bestFit="1" customWidth="1"/>
  </cols>
  <sheetData>
    <row r="1" spans="1:2" x14ac:dyDescent="0.3">
      <c r="A1" t="s">
        <v>35</v>
      </c>
      <c r="B1">
        <v>1.25</v>
      </c>
    </row>
    <row r="2" spans="1:2" x14ac:dyDescent="0.3">
      <c r="A2" t="s">
        <v>36</v>
      </c>
      <c r="B2">
        <v>0.1</v>
      </c>
    </row>
    <row r="3" spans="1:2" x14ac:dyDescent="0.3">
      <c r="A3" t="s">
        <v>37</v>
      </c>
      <c r="B3">
        <f>ROUNDUP(B1/B2,0)</f>
        <v>13</v>
      </c>
    </row>
    <row r="4" spans="1:2" x14ac:dyDescent="0.3">
      <c r="A4" t="s">
        <v>38</v>
      </c>
      <c r="B4">
        <f>B1/(B3-1)</f>
        <v>0.10416666666666667</v>
      </c>
    </row>
    <row r="5" spans="1:2" x14ac:dyDescent="0.3">
      <c r="A5" t="s">
        <v>39</v>
      </c>
      <c r="B5">
        <f>B4*(B3-1)</f>
        <v>1.25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CA30A-0709-427C-86E7-C7DE21E828A5}">
  <sheetPr codeName="Sheet5"/>
  <dimension ref="B1:K6"/>
  <sheetViews>
    <sheetView zoomScale="190" zoomScaleNormal="190" workbookViewId="0">
      <selection activeCell="K7" sqref="K7"/>
    </sheetView>
  </sheetViews>
  <sheetFormatPr defaultRowHeight="14.4" x14ac:dyDescent="0.3"/>
  <cols>
    <col min="1" max="1" width="3.77734375" customWidth="1"/>
    <col min="11" max="11" width="11" bestFit="1" customWidth="1"/>
  </cols>
  <sheetData>
    <row r="1" spans="2:11" ht="7.35" customHeight="1" x14ac:dyDescent="0.3"/>
    <row r="2" spans="2:11" x14ac:dyDescent="0.3">
      <c r="B2" t="s">
        <v>14</v>
      </c>
      <c r="C2" t="b">
        <v>1</v>
      </c>
      <c r="E2" t="s">
        <v>16</v>
      </c>
      <c r="G2" t="s">
        <v>22</v>
      </c>
      <c r="I2">
        <v>8</v>
      </c>
      <c r="K2" t="s">
        <v>25</v>
      </c>
    </row>
    <row r="3" spans="2:11" x14ac:dyDescent="0.3">
      <c r="B3" t="s">
        <v>15</v>
      </c>
      <c r="C3" t="b">
        <v>1</v>
      </c>
      <c r="G3" t="s">
        <v>23</v>
      </c>
      <c r="I3">
        <v>12</v>
      </c>
      <c r="K3" t="s">
        <v>26</v>
      </c>
    </row>
    <row r="4" spans="2:11" x14ac:dyDescent="0.3">
      <c r="I4">
        <v>16</v>
      </c>
    </row>
    <row r="5" spans="2:11" x14ac:dyDescent="0.3">
      <c r="K5" t="s">
        <v>27</v>
      </c>
    </row>
    <row r="6" spans="2:11" x14ac:dyDescent="0.3">
      <c r="K6" t="s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7901E-34C9-48E3-824A-412CD948F14D}">
  <sheetPr codeName="Sheet2">
    <tabColor rgb="FF002060"/>
  </sheetPr>
  <dimension ref="B1:Q12"/>
  <sheetViews>
    <sheetView zoomScale="160" zoomScaleNormal="160" workbookViewId="0">
      <selection activeCell="F19" sqref="F19"/>
    </sheetView>
  </sheetViews>
  <sheetFormatPr defaultColWidth="8.5546875" defaultRowHeight="14.4" x14ac:dyDescent="0.3"/>
  <cols>
    <col min="1" max="1" width="1.5546875" customWidth="1"/>
    <col min="2" max="2" width="2" bestFit="1" customWidth="1"/>
    <col min="3" max="3" width="9.33203125" bestFit="1" customWidth="1"/>
    <col min="4" max="4" width="9" bestFit="1" customWidth="1"/>
    <col min="5" max="5" width="1.5546875" customWidth="1"/>
    <col min="6" max="6" width="20" bestFit="1" customWidth="1"/>
    <col min="7" max="7" width="5.5546875" bestFit="1" customWidth="1"/>
    <col min="8" max="8" width="1.77734375" customWidth="1"/>
    <col min="9" max="10" width="9.21875" bestFit="1" customWidth="1"/>
    <col min="11" max="12" width="1.77734375" customWidth="1"/>
    <col min="13" max="14" width="9.21875" customWidth="1"/>
    <col min="15" max="15" width="1.77734375" customWidth="1"/>
  </cols>
  <sheetData>
    <row r="1" spans="2:17" ht="5.0999999999999996" customHeight="1" thickBot="1" x14ac:dyDescent="0.35"/>
    <row r="2" spans="2:17" ht="15" thickBot="1" x14ac:dyDescent="0.35">
      <c r="C2" s="42" t="s">
        <v>4</v>
      </c>
      <c r="D2" s="43"/>
      <c r="F2" s="14" t="s">
        <v>7</v>
      </c>
      <c r="G2" s="15">
        <f>'Nodes-Plane'!C5</f>
        <v>0</v>
      </c>
      <c r="I2" s="42" t="s">
        <v>6</v>
      </c>
      <c r="J2" s="43"/>
      <c r="K2" s="32"/>
      <c r="L2" s="32"/>
      <c r="M2" s="14" t="s">
        <v>33</v>
      </c>
      <c r="N2" s="15">
        <f>b</f>
        <v>0.5</v>
      </c>
      <c r="P2" s="44" t="s">
        <v>32</v>
      </c>
      <c r="Q2" s="45"/>
    </row>
    <row r="3" spans="2:17" ht="15" thickBot="1" x14ac:dyDescent="0.35">
      <c r="C3" s="3" t="s">
        <v>2</v>
      </c>
      <c r="D3" s="4" t="s">
        <v>3</v>
      </c>
      <c r="F3" s="14" t="s">
        <v>8</v>
      </c>
      <c r="G3" s="16">
        <f>G2*PI()/180</f>
        <v>0</v>
      </c>
      <c r="I3" s="3" t="s">
        <v>2</v>
      </c>
      <c r="J3" s="4" t="s">
        <v>3</v>
      </c>
      <c r="K3" s="33"/>
      <c r="L3" s="33"/>
      <c r="M3" s="33"/>
      <c r="N3" s="33"/>
      <c r="P3" s="3" t="s">
        <v>2</v>
      </c>
      <c r="Q3" s="4" t="s">
        <v>3</v>
      </c>
    </row>
    <row r="4" spans="2:17" x14ac:dyDescent="0.3">
      <c r="B4">
        <v>1</v>
      </c>
      <c r="C4" s="3">
        <f>G5*COS(G3)</f>
        <v>0.25</v>
      </c>
      <c r="D4" s="4">
        <f>G5*SIN(G3)</f>
        <v>0</v>
      </c>
      <c r="F4" s="9" t="s">
        <v>11</v>
      </c>
      <c r="G4" s="17">
        <f>SQRT((b/2)^2+(h/2)^2)</f>
        <v>0.35355339059327379</v>
      </c>
      <c r="I4" s="3">
        <f>N2/2</f>
        <v>0.25</v>
      </c>
      <c r="J4" s="4">
        <v>0</v>
      </c>
      <c r="K4" s="33"/>
      <c r="L4" s="33"/>
      <c r="M4" s="33"/>
      <c r="N4" s="33"/>
      <c r="P4" s="3">
        <f t="shared" ref="P4:P12" si="0">IF(NODES_RECTANGULAR_TYPE="Rectangular",C4,I4)</f>
        <v>0.25</v>
      </c>
      <c r="Q4" s="4">
        <f t="shared" ref="Q4:Q12" si="1">IF(NODES_RECTANGULAR_TYPE="Rectangular",D4,J4)</f>
        <v>0</v>
      </c>
    </row>
    <row r="5" spans="2:17" ht="15.6" x14ac:dyDescent="0.35">
      <c r="B5">
        <v>2</v>
      </c>
      <c r="C5" s="3">
        <f>G4*COS(G7+G3)</f>
        <v>0.25000000000000006</v>
      </c>
      <c r="D5" s="4">
        <f>G4*SIN(G7+G3)</f>
        <v>0.25</v>
      </c>
      <c r="F5" s="10" t="s">
        <v>12</v>
      </c>
      <c r="G5" s="11">
        <f>b/2</f>
        <v>0.25</v>
      </c>
      <c r="I5" s="3">
        <f>COS(PI()/4)*N2/2</f>
        <v>0.17677669529663689</v>
      </c>
      <c r="J5" s="4">
        <f>SIN(PI()/4)*N2/2</f>
        <v>0.17677669529663687</v>
      </c>
      <c r="K5" s="33"/>
      <c r="L5" s="33"/>
      <c r="M5" s="33"/>
      <c r="N5" s="33"/>
      <c r="P5" s="3">
        <f t="shared" si="0"/>
        <v>0.25000000000000006</v>
      </c>
      <c r="Q5" s="4">
        <f t="shared" si="1"/>
        <v>0.25</v>
      </c>
    </row>
    <row r="6" spans="2:17" ht="16.2" thickBot="1" x14ac:dyDescent="0.4">
      <c r="B6">
        <v>3</v>
      </c>
      <c r="C6" s="3">
        <f>G6*COS(PI()/2+G3)</f>
        <v>1.531435568635775E-17</v>
      </c>
      <c r="D6" s="4">
        <f>G6*SIN(PI()/2+G3)</f>
        <v>0.25</v>
      </c>
      <c r="F6" s="12" t="s">
        <v>13</v>
      </c>
      <c r="G6" s="13">
        <f>h/2</f>
        <v>0.25</v>
      </c>
      <c r="I6" s="3">
        <v>0</v>
      </c>
      <c r="J6" s="4">
        <f>SIN(PI()/2)*N2/2</f>
        <v>0.25</v>
      </c>
      <c r="K6" s="33"/>
      <c r="L6" s="33"/>
      <c r="M6" s="33"/>
      <c r="N6" s="33"/>
      <c r="P6" s="3">
        <f t="shared" si="0"/>
        <v>1.531435568635775E-17</v>
      </c>
      <c r="Q6" s="4">
        <f t="shared" si="1"/>
        <v>0.25</v>
      </c>
    </row>
    <row r="7" spans="2:17" ht="16.2" thickBot="1" x14ac:dyDescent="0.4">
      <c r="B7">
        <v>4</v>
      </c>
      <c r="C7" s="3">
        <f>G4*COS(PI()-G7+G3)</f>
        <v>-0.25</v>
      </c>
      <c r="D7" s="4">
        <f>G4*SIN(PI()-G7+G3)</f>
        <v>0.25000000000000006</v>
      </c>
      <c r="F7" s="14" t="s">
        <v>10</v>
      </c>
      <c r="G7" s="16">
        <f>ATAN((h/2)/(b/2))</f>
        <v>0.78539816339744828</v>
      </c>
      <c r="I7" s="3">
        <f>-COS(PI()/4)*N2/2</f>
        <v>-0.17677669529663689</v>
      </c>
      <c r="J7" s="4">
        <f>SIN(PI()/4)*N2/2</f>
        <v>0.17677669529663687</v>
      </c>
      <c r="K7" s="33"/>
      <c r="L7" s="33"/>
      <c r="M7" s="33"/>
      <c r="N7" s="33"/>
      <c r="P7" s="3">
        <f t="shared" si="0"/>
        <v>-0.25</v>
      </c>
      <c r="Q7" s="4">
        <f t="shared" si="1"/>
        <v>0.25000000000000006</v>
      </c>
    </row>
    <row r="8" spans="2:17" x14ac:dyDescent="0.3">
      <c r="B8">
        <v>5</v>
      </c>
      <c r="C8" s="3">
        <f>G5*COS(PI()+G3)</f>
        <v>-0.25</v>
      </c>
      <c r="D8" s="4">
        <f>G5*SIN(PI()+G3)</f>
        <v>3.06287113727155E-17</v>
      </c>
      <c r="I8" s="3">
        <f>COS(PI())*N2/2</f>
        <v>-0.25</v>
      </c>
      <c r="J8" s="4">
        <v>0</v>
      </c>
      <c r="K8" s="33"/>
      <c r="L8" s="33"/>
      <c r="M8" s="33"/>
      <c r="N8" s="33"/>
      <c r="P8" s="3">
        <f t="shared" si="0"/>
        <v>-0.25</v>
      </c>
      <c r="Q8" s="4">
        <f t="shared" si="1"/>
        <v>3.06287113727155E-17</v>
      </c>
    </row>
    <row r="9" spans="2:17" x14ac:dyDescent="0.3">
      <c r="B9">
        <v>6</v>
      </c>
      <c r="C9" s="3">
        <f>G4*COS(PI()+G7+G3)</f>
        <v>-0.25000000000000006</v>
      </c>
      <c r="D9" s="4">
        <f>G4*SIN(PI()+G7+G3)</f>
        <v>-0.25</v>
      </c>
      <c r="I9" s="3">
        <f>-COS(PI()/4)*N2/2</f>
        <v>-0.17677669529663689</v>
      </c>
      <c r="J9" s="4">
        <f>-SIN(PI()/4)*N2/2</f>
        <v>-0.17677669529663687</v>
      </c>
      <c r="K9" s="33"/>
      <c r="L9" s="33"/>
      <c r="M9" s="33"/>
      <c r="N9" s="33"/>
      <c r="P9" s="3">
        <f t="shared" si="0"/>
        <v>-0.25000000000000006</v>
      </c>
      <c r="Q9" s="4">
        <f t="shared" si="1"/>
        <v>-0.25</v>
      </c>
    </row>
    <row r="10" spans="2:17" x14ac:dyDescent="0.3">
      <c r="B10">
        <v>7</v>
      </c>
      <c r="C10" s="3">
        <f>G6*COS(3*PI()/2+G3)</f>
        <v>-4.594306705907325E-17</v>
      </c>
      <c r="D10" s="4">
        <f>G6*SIN(3*PI()/2+G3)</f>
        <v>-0.25</v>
      </c>
      <c r="I10" s="3">
        <v>0</v>
      </c>
      <c r="J10" s="4">
        <f>-SIN(PI()/2)*N2/2</f>
        <v>-0.25</v>
      </c>
      <c r="K10" s="33"/>
      <c r="L10" s="33"/>
      <c r="M10" s="33"/>
      <c r="N10" s="33"/>
      <c r="P10" s="3">
        <f t="shared" si="0"/>
        <v>-4.594306705907325E-17</v>
      </c>
      <c r="Q10" s="4">
        <f t="shared" si="1"/>
        <v>-0.25</v>
      </c>
    </row>
    <row r="11" spans="2:17" x14ac:dyDescent="0.3">
      <c r="B11">
        <v>8</v>
      </c>
      <c r="C11" s="3">
        <f>G4*COS(2*PI()-G7+G3)</f>
        <v>0.24999999999999994</v>
      </c>
      <c r="D11" s="4">
        <f>G4*SIN(2*PI()-G7+G3)</f>
        <v>-0.25000000000000006</v>
      </c>
      <c r="I11" s="3">
        <f>COS(PI()/4)*N2/2</f>
        <v>0.17677669529663689</v>
      </c>
      <c r="J11" s="4">
        <f>-SIN(PI()/4)*N2/2</f>
        <v>-0.17677669529663687</v>
      </c>
      <c r="K11" s="33"/>
      <c r="L11" s="33"/>
      <c r="M11" s="33"/>
      <c r="N11" s="33"/>
      <c r="P11" s="3">
        <f t="shared" si="0"/>
        <v>0.24999999999999994</v>
      </c>
      <c r="Q11" s="4">
        <f t="shared" si="1"/>
        <v>-0.25000000000000006</v>
      </c>
    </row>
    <row r="12" spans="2:17" ht="15" thickBot="1" x14ac:dyDescent="0.35">
      <c r="B12">
        <v>1</v>
      </c>
      <c r="C12" s="5">
        <f>C4</f>
        <v>0.25</v>
      </c>
      <c r="D12" s="6">
        <f>D4</f>
        <v>0</v>
      </c>
      <c r="I12" s="5">
        <f>N2/2</f>
        <v>0.25</v>
      </c>
      <c r="J12" s="6">
        <v>0</v>
      </c>
      <c r="K12" s="33"/>
      <c r="L12" s="33"/>
      <c r="M12" s="33"/>
      <c r="N12" s="33"/>
      <c r="P12" s="5">
        <f t="shared" si="0"/>
        <v>0.25</v>
      </c>
      <c r="Q12" s="6">
        <f t="shared" si="1"/>
        <v>0</v>
      </c>
    </row>
  </sheetData>
  <mergeCells count="3">
    <mergeCell ref="C2:D2"/>
    <mergeCell ref="I2:J2"/>
    <mergeCell ref="P2:Q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C7D82C7C5840A4FB0B4DC2873FBDCEF" ma:contentTypeVersion="14" ma:contentTypeDescription="Criar um novo documento." ma:contentTypeScope="" ma:versionID="4dbd9fcd67fe6bad8f0190629215dfb9">
  <xsd:schema xmlns:xsd="http://www.w3.org/2001/XMLSchema" xmlns:xs="http://www.w3.org/2001/XMLSchema" xmlns:p="http://schemas.microsoft.com/office/2006/metadata/properties" xmlns:ns3="370c0b80-28f3-446e-8e3d-56876df16a61" xmlns:ns4="941f6299-2880-46dd-a7f1-b8720bd7f447" targetNamespace="http://schemas.microsoft.com/office/2006/metadata/properties" ma:root="true" ma:fieldsID="865868d44bc0f6fa3041920a2f8c3ae0" ns3:_="" ns4:_="">
    <xsd:import namespace="370c0b80-28f3-446e-8e3d-56876df16a61"/>
    <xsd:import namespace="941f6299-2880-46dd-a7f1-b8720bd7f44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ServiceOCR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0c0b80-28f3-446e-8e3d-56876df16a6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Sugestão de Partilh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1f6299-2880-46dd-a7f1-b8720bd7f4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A709402-E88F-4176-A261-33ACBB30F7B1}">
  <ds:schemaRefs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purl.org/dc/terms/"/>
    <ds:schemaRef ds:uri="http://www.w3.org/XML/1998/namespace"/>
    <ds:schemaRef ds:uri="370c0b80-28f3-446e-8e3d-56876df16a61"/>
    <ds:schemaRef ds:uri="http://schemas.microsoft.com/office/2006/documentManagement/types"/>
    <ds:schemaRef ds:uri="http://schemas.openxmlformats.org/package/2006/metadata/core-properties"/>
    <ds:schemaRef ds:uri="941f6299-2880-46dd-a7f1-b8720bd7f447"/>
  </ds:schemaRefs>
</ds:datastoreItem>
</file>

<file path=customXml/itemProps2.xml><?xml version="1.0" encoding="utf-8"?>
<ds:datastoreItem xmlns:ds="http://schemas.openxmlformats.org/officeDocument/2006/customXml" ds:itemID="{280E1E60-B0B5-40B9-95E8-B1EA132150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0c0b80-28f3-446e-8e3d-56876df16a61"/>
    <ds:schemaRef ds:uri="941f6299-2880-46dd-a7f1-b8720bd7f4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CF25F4-B65E-4D3A-AC57-A200C9EDDC6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Nodes-Plane</vt:lpstr>
      <vt:lpstr>Bars-Plane</vt:lpstr>
      <vt:lpstr>Bars-Line</vt:lpstr>
      <vt:lpstr>Sheet1</vt:lpstr>
      <vt:lpstr>b</vt:lpstr>
      <vt:lpstr>BarNumberTitle</vt:lpstr>
      <vt:lpstr>BottomSection</vt:lpstr>
      <vt:lpstr>Direction</vt:lpstr>
      <vt:lpstr>EndSection</vt:lpstr>
      <vt:lpstr>h</vt:lpstr>
      <vt:lpstr>MeshSize</vt:lpstr>
      <vt:lpstr>NODES_RECTANGULAR_TYPE</vt:lpstr>
      <vt:lpstr>NumberOfBarsTitle</vt:lpstr>
      <vt:lpstr>Section</vt:lpstr>
      <vt:lpstr>StartSection</vt:lpstr>
      <vt:lpstr>TopSection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 Henrique Teixeira</dc:creator>
  <cp:lastModifiedBy>Nuno Henrique Mendes Moreira Teixeira</cp:lastModifiedBy>
  <dcterms:created xsi:type="dcterms:W3CDTF">2020-12-03T09:48:29Z</dcterms:created>
  <dcterms:modified xsi:type="dcterms:W3CDTF">2025-05-20T00:43:58Z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0x010100DC7D82C7C5840A4FB0B4DC2873FBDCEF</vt:lpwstr>
  </property>
</Properties>
</file>